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F2353AD5-A6B1-4483-876C-E1205AA4E064}" xr6:coauthVersionLast="36" xr6:coauthVersionMax="36" xr10:uidLastSave="{00000000-0000-0000-0000-000000000000}"/>
  <bookViews>
    <workbookView xWindow="0" yWindow="0" windowWidth="19200" windowHeight="7820" xr2:uid="{9BB73F7F-E8D9-4CA9-85AD-3C7A8CC8BDEC}"/>
  </bookViews>
  <sheets>
    <sheet name="철학과종교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E31" i="1"/>
  <c r="E32" i="1" s="1"/>
  <c r="E29" i="1"/>
  <c r="F29" i="1" s="1"/>
  <c r="E14" i="1"/>
  <c r="F14" i="1" s="1"/>
  <c r="E3" i="1"/>
  <c r="F3" i="1" s="1"/>
  <c r="F31" i="1" l="1"/>
</calcChain>
</file>

<file path=xl/sharedStrings.xml><?xml version="1.0" encoding="utf-8"?>
<sst xmlns="http://schemas.openxmlformats.org/spreadsheetml/2006/main" count="64" uniqueCount="64">
  <si>
    <r>
      <rPr>
        <b/>
        <sz val="11"/>
        <color rgb="FF1F1F1F"/>
        <rFont val="맑은 고딕"/>
        <family val="3"/>
        <charset val="129"/>
      </rPr>
      <t xml:space="preserve">장
</t>
    </r>
    <r>
      <rPr>
        <b/>
        <sz val="11"/>
        <color rgb="FF1F1F1F"/>
        <rFont val="Arial"/>
        <family val="2"/>
      </rPr>
      <t>(Chapter)</t>
    </r>
    <phoneticPr fontId="1" type="noConversion"/>
  </si>
  <si>
    <t>제목</t>
  </si>
  <si>
    <r>
      <rPr>
        <b/>
        <sz val="11"/>
        <color rgb="FF1F1F1F"/>
        <rFont val="맑은 고딕"/>
        <family val="3"/>
        <charset val="129"/>
      </rPr>
      <t>글자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수</t>
    </r>
    <r>
      <rPr>
        <b/>
        <sz val="11"/>
        <color rgb="FF1F1F1F"/>
        <rFont val="Arial"/>
        <family val="2"/>
      </rPr>
      <t xml:space="preserve"> 
(</t>
    </r>
    <r>
      <rPr>
        <b/>
        <sz val="11"/>
        <color rgb="FF1F1F1F"/>
        <rFont val="맑은 고딕"/>
        <family val="3"/>
        <charset val="129"/>
      </rPr>
      <t>공백제외</t>
    </r>
    <r>
      <rPr>
        <b/>
        <sz val="11"/>
        <color rgb="FF1F1F1F"/>
        <rFont val="Arial"/>
        <family val="2"/>
      </rPr>
      <t>)</t>
    </r>
    <phoneticPr fontId="1" type="noConversion"/>
  </si>
  <si>
    <r>
      <rPr>
        <b/>
        <sz val="11"/>
        <color rgb="FF1F1F1F"/>
        <rFont val="맑은 고딕"/>
        <family val="3"/>
        <charset val="129"/>
      </rPr>
      <t>비중</t>
    </r>
    <r>
      <rPr>
        <b/>
        <sz val="11"/>
        <color rgb="FF1F1F1F"/>
        <rFont val="Arial"/>
        <family val="2"/>
      </rPr>
      <t>(%)</t>
    </r>
    <phoneticPr fontId="1" type="noConversion"/>
  </si>
  <si>
    <t>철학/종교</t>
    <phoneticPr fontId="1" type="noConversion"/>
  </si>
  <si>
    <t>비중</t>
    <phoneticPr fontId="1" type="noConversion"/>
  </si>
  <si>
    <t>서문</t>
  </si>
  <si>
    <t>哲學と宗敎 序 (철학과 종교 서)</t>
  </si>
  <si>
    <t>제1장</t>
  </si>
  <si>
    <t>第一 哲學の要求及び將來 (철학의 요구 및 장래)</t>
  </si>
  <si>
    <t>제2장</t>
  </si>
  <si>
    <t>第二 唯物論と唯心論とに對する實在論の哲學的價値</t>
  </si>
  <si>
    <t>제3장</t>
  </si>
  <si>
    <t>第三 哲學上より見たる進化論 (철학상으로 본 진화론)</t>
  </si>
  <si>
    <t>제4장</t>
  </si>
  <si>
    <t>第四 意志活動と自我概念 (의지활동과 자아개념)</t>
  </si>
  <si>
    <t>제5장</t>
  </si>
  <si>
    <t>第五 死生の問題に就いて (사생의 문제에 대하여)</t>
  </si>
  <si>
    <t>제6장</t>
  </si>
  <si>
    <t>第六 生命に伴ふ五種の特徴 (생명에 따르는 5종의 특징)</t>
  </si>
  <si>
    <t>제7장</t>
  </si>
  <si>
    <t>第七 生理學者の生命論 (생리학자의 생명론)</t>
  </si>
  <si>
    <t>제8장</t>
  </si>
  <si>
    <t>第八 メチニコフの學説に就いて (메치니코프의 학설에 대하여)</t>
  </si>
  <si>
    <t>제9장</t>
  </si>
  <si>
    <t>第九 オイケンの哲學と我國の現狀 (오이켄 철학과 아국 현상)</t>
  </si>
  <si>
    <t>제10장</t>
  </si>
  <si>
    <t>第十 東西洋哲學思想の一致 (동서양 철학사상의 일치)</t>
  </si>
  <si>
    <t>제11장</t>
  </si>
  <si>
    <t>第十一 東洋哲學の特色 (동양철학의 특색)</t>
  </si>
  <si>
    <t>제12장</t>
  </si>
  <si>
    <t>第十二 佛基二敎と神道 (불교·기독교와 신도)</t>
  </si>
  <si>
    <t>제13장</t>
  </si>
  <si>
    <t>第十三 基督敎と儒敎 (기독교와 유교)</t>
  </si>
  <si>
    <t>제14장</t>
  </si>
  <si>
    <t>第十四 佛基二敎の差異點 (불교·기독교의 차이점)</t>
  </si>
  <si>
    <t>제15장</t>
  </si>
  <si>
    <t>第十五 佛敎所感(活禪) (불교소감-활선)</t>
  </si>
  <si>
    <t>제16장</t>
  </si>
  <si>
    <t>第十六 我邦宗敎の將來 (아방 종교의 장래)</t>
  </si>
  <si>
    <t>제17장</t>
  </si>
  <si>
    <t>第十七 我邦宗敎の革新 (아방 종교의 혁신)</t>
  </si>
  <si>
    <t>제18장</t>
  </si>
  <si>
    <t>第十八 我國に於ける宗敎と敎育 (아국에 있어서 종교와 교육)</t>
  </si>
  <si>
    <t>제19장</t>
  </si>
  <si>
    <t>第十九 死宗敎と活宗敎 (사종교와 활종교)</t>
  </si>
  <si>
    <t>제20장</t>
  </si>
  <si>
    <t>第二十 宣敎五十年記念の感想 (선교 50년 기념의 감상)</t>
  </si>
  <si>
    <t>제21장</t>
  </si>
  <si>
    <t>第廿一 我國宗敎の前途 (아국 종교의 전도)</t>
  </si>
  <si>
    <t>제22장</t>
  </si>
  <si>
    <t>第廿二 日本に於ける宗敎の統一 (일본에 있어서 종교의 통일)</t>
  </si>
  <si>
    <t>제23장</t>
  </si>
  <si>
    <t>第廿三 今後の敎育と宗敎 (금후의 교육과 종교)</t>
  </si>
  <si>
    <t>제24장</t>
  </si>
  <si>
    <t>第廿四 古風の宗敎と現代の道徳 (고풍의 종교와 현대의 도덕)</t>
  </si>
  <si>
    <t>제25장</t>
  </si>
  <si>
    <t>第廿五 神道の過去及び將來 (신도의 과거 및 장래)</t>
  </si>
  <si>
    <t>제26장</t>
  </si>
  <si>
    <t>第廿六 日本神話の新解釋 (일본신화의 신해석)</t>
  </si>
  <si>
    <t>부록 1</t>
  </si>
  <si>
    <t>[附錄] 一 日本民族の起原に關する考證 (일본민족 기원 고증)</t>
  </si>
  <si>
    <t>부록 2</t>
  </si>
  <si>
    <t>[附錄] 二 近時の日本人種論 (근시의 일본인종론)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</si>
</sst>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3" fontId="5" fillId="0" borderId="1" xfId="0" applyNumberFormat="1" applyFont="1" applyBorder="1" applyAlignment="1">
      <alignment horizontal="right" vertical="center" wrapText="1" readingOrder="1"/>
    </xf>
    <xf numFmtId="10" fontId="5" fillId="0" borderId="1" xfId="0" applyNumberFormat="1" applyFont="1" applyBorder="1" applyAlignment="1">
      <alignment horizontal="right" vertical="center" wrapText="1" readingOrder="1"/>
    </xf>
    <xf numFmtId="3" fontId="0" fillId="0" borderId="0" xfId="0" applyNumberFormat="1" applyAlignment="1">
      <alignment horizontal="center" vertical="center"/>
    </xf>
    <xf numFmtId="10" fontId="5" fillId="2" borderId="1" xfId="0" applyNumberFormat="1" applyFont="1" applyFill="1" applyBorder="1" applyAlignment="1">
      <alignment horizontal="right" vertical="center" wrapText="1" readingOrder="1"/>
    </xf>
    <xf numFmtId="3" fontId="4" fillId="0" borderId="1" xfId="0" applyNumberFormat="1" applyFont="1" applyBorder="1" applyAlignment="1">
      <alignment horizontal="right" vertical="center" wrapText="1" readingOrder="1"/>
    </xf>
    <xf numFmtId="10" fontId="4" fillId="2" borderId="1" xfId="0" applyNumberFormat="1" applyFont="1" applyFill="1" applyBorder="1" applyAlignment="1">
      <alignment horizontal="right" vertical="center" wrapText="1" readingOrder="1"/>
    </xf>
    <xf numFmtId="1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69EF-BD1A-450F-9B25-42E0D8D792B5}">
  <dimension ref="A1:F32"/>
  <sheetViews>
    <sheetView tabSelected="1" topLeftCell="A7" zoomScale="115" zoomScaleNormal="115" workbookViewId="0">
      <selection activeCell="F12" sqref="F12"/>
    </sheetView>
  </sheetViews>
  <sheetFormatPr defaultRowHeight="17" x14ac:dyDescent="0.45"/>
  <cols>
    <col min="1" max="1" width="9.83203125" style="1" bestFit="1" customWidth="1"/>
    <col min="2" max="2" width="58.25" style="1" bestFit="1" customWidth="1"/>
    <col min="3" max="3" width="10.25" style="1" bestFit="1" customWidth="1"/>
    <col min="4" max="4" width="8.58203125" style="1" bestFit="1" customWidth="1"/>
    <col min="5" max="5" width="9.75" style="1" bestFit="1" customWidth="1"/>
    <col min="6" max="6" width="6.5" style="1" bestFit="1" customWidth="1"/>
    <col min="7" max="16384" width="8.6640625" style="1"/>
  </cols>
  <sheetData>
    <row r="1" spans="1:6" ht="17.5" thickBot="1" x14ac:dyDescent="0.5"/>
    <row r="2" spans="1:6" ht="34.5" thickBot="1" x14ac:dyDescent="0.5">
      <c r="A2" s="2" t="s">
        <v>0</v>
      </c>
      <c r="B2" s="3" t="s">
        <v>1</v>
      </c>
      <c r="C2" s="2" t="s">
        <v>2</v>
      </c>
      <c r="D2" s="2" t="s">
        <v>3</v>
      </c>
      <c r="E2" s="1" t="s">
        <v>4</v>
      </c>
      <c r="F2" s="1" t="s">
        <v>5</v>
      </c>
    </row>
    <row r="3" spans="1:6" ht="17.5" thickBot="1" x14ac:dyDescent="0.5">
      <c r="A3" s="3" t="s">
        <v>6</v>
      </c>
      <c r="B3" s="4" t="s">
        <v>7</v>
      </c>
      <c r="C3" s="5">
        <v>1010</v>
      </c>
      <c r="D3" s="6">
        <v>2.7000000000000001E-3</v>
      </c>
      <c r="E3" s="7">
        <f>C3</f>
        <v>1010</v>
      </c>
      <c r="F3" s="1">
        <f>ROUND((E3/$E$32)*100,2)</f>
        <v>0.27</v>
      </c>
    </row>
    <row r="4" spans="1:6" ht="17.5" thickBot="1" x14ac:dyDescent="0.5">
      <c r="A4" s="3" t="s">
        <v>8</v>
      </c>
      <c r="B4" s="4" t="s">
        <v>9</v>
      </c>
      <c r="C4" s="5">
        <v>16390</v>
      </c>
      <c r="D4" s="8">
        <v>4.3099999999999999E-2</v>
      </c>
    </row>
    <row r="5" spans="1:6" ht="17.5" thickBot="1" x14ac:dyDescent="0.5">
      <c r="A5" s="3" t="s">
        <v>10</v>
      </c>
      <c r="B5" s="4" t="s">
        <v>11</v>
      </c>
      <c r="C5" s="5">
        <v>23034</v>
      </c>
      <c r="D5" s="8">
        <v>6.0499999999999998E-2</v>
      </c>
    </row>
    <row r="6" spans="1:6" ht="17.5" thickBot="1" x14ac:dyDescent="0.5">
      <c r="A6" s="3" t="s">
        <v>12</v>
      </c>
      <c r="B6" s="4" t="s">
        <v>13</v>
      </c>
      <c r="C6" s="5">
        <v>21440</v>
      </c>
      <c r="D6" s="8">
        <v>5.6300000000000003E-2</v>
      </c>
    </row>
    <row r="7" spans="1:6" ht="17.5" thickBot="1" x14ac:dyDescent="0.5">
      <c r="A7" s="3" t="s">
        <v>14</v>
      </c>
      <c r="B7" s="4" t="s">
        <v>15</v>
      </c>
      <c r="C7" s="5">
        <v>19400</v>
      </c>
      <c r="D7" s="8">
        <v>5.0999999999999997E-2</v>
      </c>
    </row>
    <row r="8" spans="1:6" ht="17.5" thickBot="1" x14ac:dyDescent="0.5">
      <c r="A8" s="3" t="s">
        <v>16</v>
      </c>
      <c r="B8" s="4" t="s">
        <v>17</v>
      </c>
      <c r="C8" s="5">
        <v>24836</v>
      </c>
      <c r="D8" s="8">
        <v>6.5199999999999994E-2</v>
      </c>
    </row>
    <row r="9" spans="1:6" ht="17.5" thickBot="1" x14ac:dyDescent="0.5">
      <c r="A9" s="3" t="s">
        <v>18</v>
      </c>
      <c r="B9" s="4" t="s">
        <v>19</v>
      </c>
      <c r="C9" s="5">
        <v>11476</v>
      </c>
      <c r="D9" s="6">
        <v>3.0099999999999998E-2</v>
      </c>
    </row>
    <row r="10" spans="1:6" ht="17.5" thickBot="1" x14ac:dyDescent="0.5">
      <c r="A10" s="3" t="s">
        <v>20</v>
      </c>
      <c r="B10" s="4" t="s">
        <v>21</v>
      </c>
      <c r="C10" s="5">
        <v>17683</v>
      </c>
      <c r="D10" s="8">
        <v>4.65E-2</v>
      </c>
    </row>
    <row r="11" spans="1:6" ht="17.5" thickBot="1" x14ac:dyDescent="0.5">
      <c r="A11" s="3" t="s">
        <v>22</v>
      </c>
      <c r="B11" s="4" t="s">
        <v>23</v>
      </c>
      <c r="C11" s="5">
        <v>22872</v>
      </c>
      <c r="D11" s="8">
        <v>6.0100000000000001E-2</v>
      </c>
    </row>
    <row r="12" spans="1:6" ht="17.5" thickBot="1" x14ac:dyDescent="0.5">
      <c r="A12" s="3" t="s">
        <v>24</v>
      </c>
      <c r="B12" s="4" t="s">
        <v>25</v>
      </c>
      <c r="C12" s="5">
        <v>4947</v>
      </c>
      <c r="D12" s="6">
        <v>1.2999999999999999E-2</v>
      </c>
    </row>
    <row r="13" spans="1:6" ht="17.5" thickBot="1" x14ac:dyDescent="0.5">
      <c r="A13" s="3" t="s">
        <v>26</v>
      </c>
      <c r="B13" s="4" t="s">
        <v>27</v>
      </c>
      <c r="C13" s="5">
        <v>3893</v>
      </c>
      <c r="D13" s="6">
        <v>1.0200000000000001E-2</v>
      </c>
    </row>
    <row r="14" spans="1:6" ht="17.5" thickBot="1" x14ac:dyDescent="0.5">
      <c r="A14" s="3" t="s">
        <v>28</v>
      </c>
      <c r="B14" s="4" t="s">
        <v>29</v>
      </c>
      <c r="C14" s="5">
        <v>6163</v>
      </c>
      <c r="D14" s="6">
        <v>1.6199999999999999E-2</v>
      </c>
      <c r="E14" s="7">
        <f>SUM(C4:C14)</f>
        <v>172134</v>
      </c>
      <c r="F14" s="1">
        <f t="shared" ref="F14:F31" si="0">ROUND((E14/$E$32)*100,2)</f>
        <v>45.22</v>
      </c>
    </row>
    <row r="15" spans="1:6" ht="17.5" thickBot="1" x14ac:dyDescent="0.5">
      <c r="A15" s="3" t="s">
        <v>30</v>
      </c>
      <c r="B15" s="4" t="s">
        <v>31</v>
      </c>
      <c r="C15" s="5">
        <v>19621</v>
      </c>
      <c r="D15" s="8">
        <v>5.1499999999999997E-2</v>
      </c>
    </row>
    <row r="16" spans="1:6" ht="17.5" thickBot="1" x14ac:dyDescent="0.5">
      <c r="A16" s="3" t="s">
        <v>32</v>
      </c>
      <c r="B16" s="4" t="s">
        <v>33</v>
      </c>
      <c r="C16" s="5">
        <v>12407</v>
      </c>
      <c r="D16" s="8">
        <v>3.2599999999999997E-2</v>
      </c>
    </row>
    <row r="17" spans="1:6" ht="17.5" thickBot="1" x14ac:dyDescent="0.5">
      <c r="A17" s="3" t="s">
        <v>34</v>
      </c>
      <c r="B17" s="4" t="s">
        <v>35</v>
      </c>
      <c r="C17" s="5">
        <v>7398</v>
      </c>
      <c r="D17" s="6">
        <v>1.9400000000000001E-2</v>
      </c>
    </row>
    <row r="18" spans="1:6" ht="17.5" thickBot="1" x14ac:dyDescent="0.5">
      <c r="A18" s="3" t="s">
        <v>36</v>
      </c>
      <c r="B18" s="4" t="s">
        <v>37</v>
      </c>
      <c r="C18" s="5">
        <v>7931</v>
      </c>
      <c r="D18" s="6">
        <v>2.0799999999999999E-2</v>
      </c>
    </row>
    <row r="19" spans="1:6" ht="17.5" thickBot="1" x14ac:dyDescent="0.5">
      <c r="A19" s="3" t="s">
        <v>38</v>
      </c>
      <c r="B19" s="4" t="s">
        <v>39</v>
      </c>
      <c r="C19" s="5">
        <v>9152</v>
      </c>
      <c r="D19" s="6">
        <v>2.4E-2</v>
      </c>
    </row>
    <row r="20" spans="1:6" ht="17.5" thickBot="1" x14ac:dyDescent="0.5">
      <c r="A20" s="3" t="s">
        <v>40</v>
      </c>
      <c r="B20" s="4" t="s">
        <v>41</v>
      </c>
      <c r="C20" s="5">
        <v>16536</v>
      </c>
      <c r="D20" s="8">
        <v>4.3400000000000001E-2</v>
      </c>
    </row>
    <row r="21" spans="1:6" ht="17.5" thickBot="1" x14ac:dyDescent="0.5">
      <c r="A21" s="3" t="s">
        <v>42</v>
      </c>
      <c r="B21" s="4" t="s">
        <v>43</v>
      </c>
      <c r="C21" s="5">
        <v>8256</v>
      </c>
      <c r="D21" s="6">
        <v>2.1700000000000001E-2</v>
      </c>
    </row>
    <row r="22" spans="1:6" ht="17.5" thickBot="1" x14ac:dyDescent="0.5">
      <c r="A22" s="3" t="s">
        <v>44</v>
      </c>
      <c r="B22" s="4" t="s">
        <v>45</v>
      </c>
      <c r="C22" s="5">
        <v>7608</v>
      </c>
      <c r="D22" s="6">
        <v>0.02</v>
      </c>
    </row>
    <row r="23" spans="1:6" ht="17.5" thickBot="1" x14ac:dyDescent="0.5">
      <c r="A23" s="3" t="s">
        <v>46</v>
      </c>
      <c r="B23" s="4" t="s">
        <v>47</v>
      </c>
      <c r="C23" s="5">
        <v>5028</v>
      </c>
      <c r="D23" s="6">
        <v>1.32E-2</v>
      </c>
    </row>
    <row r="24" spans="1:6" ht="17.5" thickBot="1" x14ac:dyDescent="0.5">
      <c r="A24" s="3" t="s">
        <v>48</v>
      </c>
      <c r="B24" s="4" t="s">
        <v>49</v>
      </c>
      <c r="C24" s="5">
        <v>13893</v>
      </c>
      <c r="D24" s="8">
        <v>3.6499999999999998E-2</v>
      </c>
    </row>
    <row r="25" spans="1:6" ht="17.5" thickBot="1" x14ac:dyDescent="0.5">
      <c r="A25" s="3" t="s">
        <v>50</v>
      </c>
      <c r="B25" s="4" t="s">
        <v>51</v>
      </c>
      <c r="C25" s="5">
        <v>13828</v>
      </c>
      <c r="D25" s="8">
        <v>3.6299999999999999E-2</v>
      </c>
    </row>
    <row r="26" spans="1:6" ht="17.5" thickBot="1" x14ac:dyDescent="0.5">
      <c r="A26" s="3" t="s">
        <v>52</v>
      </c>
      <c r="B26" s="4" t="s">
        <v>53</v>
      </c>
      <c r="C26" s="5">
        <v>5757</v>
      </c>
      <c r="D26" s="6">
        <v>1.5100000000000001E-2</v>
      </c>
    </row>
    <row r="27" spans="1:6" ht="17.5" thickBot="1" x14ac:dyDescent="0.5">
      <c r="A27" s="3" t="s">
        <v>54</v>
      </c>
      <c r="B27" s="4" t="s">
        <v>55</v>
      </c>
      <c r="C27" s="5">
        <v>9809</v>
      </c>
      <c r="D27" s="6">
        <v>2.58E-2</v>
      </c>
    </row>
    <row r="28" spans="1:6" ht="17.5" thickBot="1" x14ac:dyDescent="0.5">
      <c r="A28" s="3" t="s">
        <v>56</v>
      </c>
      <c r="B28" s="4" t="s">
        <v>57</v>
      </c>
      <c r="C28" s="5">
        <v>13854</v>
      </c>
      <c r="D28" s="8">
        <v>3.6400000000000002E-2</v>
      </c>
    </row>
    <row r="29" spans="1:6" ht="17.5" thickBot="1" x14ac:dyDescent="0.5">
      <c r="A29" s="3" t="s">
        <v>58</v>
      </c>
      <c r="B29" s="4" t="s">
        <v>59</v>
      </c>
      <c r="C29" s="5">
        <v>19401</v>
      </c>
      <c r="D29" s="8">
        <v>5.0999999999999997E-2</v>
      </c>
      <c r="E29" s="7">
        <f>SUM(C15:C29)</f>
        <v>170479</v>
      </c>
      <c r="F29" s="1">
        <f t="shared" si="0"/>
        <v>44.79</v>
      </c>
    </row>
    <row r="30" spans="1:6" ht="17.5" thickBot="1" x14ac:dyDescent="0.5">
      <c r="A30" s="3" t="s">
        <v>60</v>
      </c>
      <c r="B30" s="4" t="s">
        <v>61</v>
      </c>
      <c r="C30" s="9">
        <v>30487</v>
      </c>
      <c r="D30" s="10">
        <v>8.0100000000000005E-2</v>
      </c>
    </row>
    <row r="31" spans="1:6" ht="17.5" thickBot="1" x14ac:dyDescent="0.5">
      <c r="A31" s="3" t="s">
        <v>62</v>
      </c>
      <c r="B31" s="4" t="s">
        <v>63</v>
      </c>
      <c r="C31" s="5">
        <v>6534</v>
      </c>
      <c r="D31" s="6">
        <v>1.72E-2</v>
      </c>
      <c r="E31" s="7">
        <f>SUM(C30:C31)</f>
        <v>37021</v>
      </c>
      <c r="F31" s="1">
        <f t="shared" si="0"/>
        <v>9.73</v>
      </c>
    </row>
    <row r="32" spans="1:6" x14ac:dyDescent="0.45">
      <c r="C32" s="7">
        <f>SUM(C3:C31)</f>
        <v>380644</v>
      </c>
      <c r="D32" s="11">
        <f>AVERAGE(D3:D31)</f>
        <v>3.4479310344827589E-2</v>
      </c>
      <c r="E32" s="7">
        <f>SUM(E31,E29,E14,E3)</f>
        <v>380644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철학과종교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2026-01-18T05:12:51Z</dcterms:created>
  <dcterms:modified xsi:type="dcterms:W3CDTF">2026-01-18T05:13:14Z</dcterms:modified>
</cp:coreProperties>
</file>